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YO\"/>
    </mc:Choice>
  </mc:AlternateContent>
  <xr:revisionPtr revIDLastSave="0" documentId="13_ncr:1_{E7A4C571-D5C6-422A-86F4-C03F0524540E}" xr6:coauthVersionLast="47" xr6:coauthVersionMax="47" xr10:uidLastSave="{00000000-0000-0000-0000-000000000000}"/>
  <bookViews>
    <workbookView xWindow="16371" yWindow="0" windowWidth="16629" windowHeight="17880" tabRatio="721" xr2:uid="{00000000-000D-0000-FFFF-FFFF00000000}"/>
  </bookViews>
  <sheets>
    <sheet name="SEMANA 72" sheetId="1" r:id="rId1"/>
    <sheet name="Numero de novedades" sheetId="2" r:id="rId2"/>
    <sheet name="Estadísticas de novedad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1" l="1"/>
  <c r="E18" i="1"/>
  <c r="F18" i="1"/>
  <c r="G18" i="1"/>
  <c r="H18" i="1"/>
  <c r="I18" i="1"/>
  <c r="J18" i="1"/>
  <c r="K18" i="1"/>
  <c r="L18" i="1"/>
  <c r="M18" i="1"/>
  <c r="N18" i="1"/>
  <c r="O18" i="1"/>
  <c r="P18" i="1"/>
  <c r="D18" i="1"/>
  <c r="C18" i="1"/>
  <c r="N25" i="1"/>
</calcChain>
</file>

<file path=xl/sharedStrings.xml><?xml version="1.0" encoding="utf-8"?>
<sst xmlns="http://schemas.openxmlformats.org/spreadsheetml/2006/main" count="67" uniqueCount="51">
  <si>
    <t>Victoria</t>
  </si>
  <si>
    <t>Santa Rita</t>
  </si>
  <si>
    <t>San Juan</t>
  </si>
  <si>
    <t>Naguanagua</t>
  </si>
  <si>
    <t xml:space="preserve">Mora </t>
  </si>
  <si>
    <t>IPSFA</t>
  </si>
  <si>
    <t>DOMINGO</t>
  </si>
  <si>
    <t>Guacara</t>
  </si>
  <si>
    <t>SÁBADO</t>
  </si>
  <si>
    <t>Euromaxx 
San Diego</t>
  </si>
  <si>
    <t>VIERNES</t>
  </si>
  <si>
    <t>Euromaxx Maracay Villas</t>
  </si>
  <si>
    <t>JUEVES</t>
  </si>
  <si>
    <t>Circulo Militar</t>
  </si>
  <si>
    <t>MIÉRCOLES</t>
  </si>
  <si>
    <t xml:space="preserve">Bosque </t>
  </si>
  <si>
    <t>MARTES</t>
  </si>
  <si>
    <t>Barquisimeto</t>
  </si>
  <si>
    <t>LUNES</t>
  </si>
  <si>
    <t>Acacias</t>
  </si>
  <si>
    <t>PROMEDIO POR DIAS</t>
  </si>
  <si>
    <t>TOTAL</t>
  </si>
  <si>
    <t>OBSTACULIZACIÓN DE CÁMARAS</t>
  </si>
  <si>
    <t>CÁMARAS DESCUADRADAS</t>
  </si>
  <si>
    <t>PÉRDIDA DE VIDEO</t>
  </si>
  <si>
    <t>TIENDAS</t>
  </si>
  <si>
    <t>CCTV</t>
  </si>
  <si>
    <t xml:space="preserve">OBSTACULIZACIÓN 
DE TRÁNSITO A CLIENTES Y  ACCESO 
A PRODUCTOS </t>
  </si>
  <si>
    <t>ZONAS DESABASTECIDAS
PREVIO AL CIERRE</t>
  </si>
  <si>
    <t>APERTURA DE MUELLE A DESHORAS SIN AUTORIZACIÓN</t>
  </si>
  <si>
    <t>MANTENIMIENTO 
SIN PERIMETRO</t>
  </si>
  <si>
    <t>NEVERAS SIN ILUMINACIÓN</t>
  </si>
  <si>
    <t>COLAS NO GESTIONADAS</t>
  </si>
  <si>
    <t>APERTURAS
POSTERIORES A LA HORA</t>
  </si>
  <si>
    <t>CIERRES ANTES
 DE LA HORA</t>
  </si>
  <si>
    <t>GOURMET SIN ABASTECER</t>
  </si>
  <si>
    <t>ZONAS SIN ABASTECER</t>
  </si>
  <si>
    <t>TOTAL 
NOVEDADES</t>
  </si>
  <si>
    <t xml:space="preserve">Tiendas </t>
  </si>
  <si>
    <t>Novedades</t>
  </si>
  <si>
    <t>Orden descendente de tiendas, 
filtrado por cantidad de novedades:</t>
  </si>
  <si>
    <t>Tucacas</t>
  </si>
  <si>
    <t>FALLAS FRIGORIFICAS</t>
  </si>
  <si>
    <t xml:space="preserve"> ANAQUEL FRENTEADO</t>
  </si>
  <si>
    <t>USO INDEBIDO DE HERRAMIENTA DE TRABAJO</t>
  </si>
  <si>
    <t>Castaño</t>
  </si>
  <si>
    <t>castaño</t>
  </si>
  <si>
    <t>AREA DE TRABAJO SIN PERSONAL</t>
  </si>
  <si>
    <t>+</t>
  </si>
  <si>
    <t xml:space="preserve"> </t>
  </si>
  <si>
    <t>18/05/2026 AL 24/05/2026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</si>
</sst>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28"/>
      <color theme="1" tint="0.249977111117893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48"/>
      <color theme="0"/>
      <name val="Arial"/>
      <family val="2"/>
    </font>
    <font>
      <sz val="48"/>
      <color theme="0"/>
      <name val="Arial"/>
      <family val="2"/>
    </font>
    <font>
      <b/>
      <sz val="20"/>
      <color rgb="FFFFFFFF"/>
      <name val="Calibri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</font>
    <font>
      <sz val="14"/>
      <color theme="1"/>
      <name val="Arial"/>
    </font>
    <font>
      <sz val="14"/>
      <color theme="1"/>
      <name val="Calibri"/>
      <scheme val="minor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theme="4"/>
      </top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/>
    </xf>
    <xf numFmtId="0" fontId="15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3" xfId="0" applyNumberFormat="1" applyFont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NumberFormat="1" applyFont="1" applyBorder="1" applyAlignment="1">
      <alignment horizontal="center" vertical="center"/>
    </xf>
    <xf numFmtId="2" fontId="10" fillId="0" borderId="2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 textRotation="180" wrapText="1"/>
    </xf>
    <xf numFmtId="14" fontId="6" fillId="0" borderId="22" xfId="0" applyNumberFormat="1" applyFont="1" applyBorder="1" applyAlignment="1">
      <alignment horizontal="center" vertical="center" textRotation="180" wrapText="1"/>
    </xf>
    <xf numFmtId="0" fontId="4" fillId="5" borderId="19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FFFFF"/>
        <name val="Calibri"/>
        <scheme val="none"/>
      </font>
      <fill>
        <patternFill patternType="solid">
          <fgColor rgb="FF000000"/>
          <bgColor rgb="FF4472C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Número de novedades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'SEMANA 72'!$B$1</c:f>
              <c:strCache>
                <c:ptCount val="1"/>
                <c:pt idx="0">
                  <c:v>TOTAL 
NOVEDADES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72'!$B$2:$B$17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F528-4504-8525-C70A395A1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214976"/>
        <c:axId val="1564220416"/>
      </c:barChart>
      <c:catAx>
        <c:axId val="15642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64220416"/>
        <c:crosses val="autoZero"/>
        <c:auto val="1"/>
        <c:lblAlgn val="ctr"/>
        <c:lblOffset val="100"/>
        <c:noMultiLvlLbl val="0"/>
      </c:catAx>
      <c:valAx>
        <c:axId val="156422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6421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'SEMANA 72'!$C$1</c:f>
              <c:strCache>
                <c:ptCount val="1"/>
                <c:pt idx="0">
                  <c:v>ZONAS SIN ABASTECER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72'!$C$2:$C$18</c:f>
              <c:numCache>
                <c:formatCode>General</c:formatCode>
                <c:ptCount val="17"/>
                <c:pt idx="0">
                  <c:v>5</c:v>
                </c:pt>
                <c:pt idx="1">
                  <c:v>8</c:v>
                </c:pt>
                <c:pt idx="2">
                  <c:v>7</c:v>
                </c:pt>
                <c:pt idx="3">
                  <c:v>12</c:v>
                </c:pt>
                <c:pt idx="4">
                  <c:v>2</c:v>
                </c:pt>
                <c:pt idx="5">
                  <c:v>17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1">
                  <c:v>11</c:v>
                </c:pt>
                <c:pt idx="12">
                  <c:v>3</c:v>
                </c:pt>
                <c:pt idx="13">
                  <c:v>9</c:v>
                </c:pt>
                <c:pt idx="14">
                  <c:v>1</c:v>
                </c:pt>
                <c:pt idx="16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9-4C5C-A398-3A17C788F9AF}"/>
            </c:ext>
          </c:extLst>
        </c:ser>
        <c:ser>
          <c:idx val="1"/>
          <c:order val="1"/>
          <c:tx>
            <c:strRef>
              <c:f>'SEMANA 72'!$D$1</c:f>
              <c:strCache>
                <c:ptCount val="1"/>
                <c:pt idx="0">
                  <c:v>GOURMET SIN ABASTECER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72'!$D$2:$D$17</c:f>
              <c:numCache>
                <c:formatCode>General</c:formatCode>
                <c:ptCount val="15"/>
                <c:pt idx="2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69-4C5C-A398-3A17C788F9AF}"/>
            </c:ext>
          </c:extLst>
        </c:ser>
        <c:ser>
          <c:idx val="2"/>
          <c:order val="2"/>
          <c:tx>
            <c:strRef>
              <c:f>'SEMANA 72'!$E$1</c:f>
              <c:strCache>
                <c:ptCount val="1"/>
                <c:pt idx="0">
                  <c:v>CIERRES ANTES
 DE LA HORA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72'!$E$2:$E$17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18-AF69-4C5C-A398-3A17C788F9AF}"/>
            </c:ext>
          </c:extLst>
        </c:ser>
        <c:ser>
          <c:idx val="3"/>
          <c:order val="3"/>
          <c:tx>
            <c:strRef>
              <c:f>'SEMANA 72'!$F$1</c:f>
              <c:strCache>
                <c:ptCount val="1"/>
                <c:pt idx="0">
                  <c:v>APERTURAS
POSTERIORES A LA HORA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72'!$F$2:$F$17</c:f>
              <c:numCache>
                <c:formatCode>General</c:formatCode>
                <c:ptCount val="1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F69-4C5C-A398-3A17C788F9AF}"/>
            </c:ext>
          </c:extLst>
        </c:ser>
        <c:ser>
          <c:idx val="4"/>
          <c:order val="4"/>
          <c:tx>
            <c:strRef>
              <c:f>'SEMANA 72'!$G$1</c:f>
              <c:strCache>
                <c:ptCount val="1"/>
                <c:pt idx="0">
                  <c:v>COLAS NO GESTIONADAS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72'!$G$2:$G$17</c:f>
              <c:numCache>
                <c:formatCode>General</c:formatCode>
                <c:ptCount val="15"/>
                <c:pt idx="5">
                  <c:v>2</c:v>
                </c:pt>
                <c:pt idx="9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F69-4C5C-A398-3A17C788F9AF}"/>
            </c:ext>
          </c:extLst>
        </c:ser>
        <c:ser>
          <c:idx val="5"/>
          <c:order val="5"/>
          <c:tx>
            <c:strRef>
              <c:f>'SEMANA 72'!$H$1</c:f>
              <c:strCache>
                <c:ptCount val="1"/>
                <c:pt idx="0">
                  <c:v> ANAQUEL FRENTEADO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72'!$H$2:$H$17</c:f>
              <c:numCache>
                <c:formatCode>General</c:formatCode>
                <c:ptCount val="15"/>
                <c:pt idx="2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F69-4C5C-A398-3A17C788F9AF}"/>
            </c:ext>
          </c:extLst>
        </c:ser>
        <c:ser>
          <c:idx val="6"/>
          <c:order val="6"/>
          <c:tx>
            <c:strRef>
              <c:f>'SEMANA 72'!$I$1</c:f>
              <c:strCache>
                <c:ptCount val="1"/>
                <c:pt idx="0">
                  <c:v>NEVERAS SIN ILUMINACIÓN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72'!$I$2:$I$17</c:f>
              <c:numCache>
                <c:formatCode>General</c:formatCode>
                <c:ptCount val="15"/>
                <c:pt idx="1">
                  <c:v>1</c:v>
                </c:pt>
                <c:pt idx="4">
                  <c:v>1</c:v>
                </c:pt>
                <c:pt idx="7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F69-4C5C-A398-3A17C788F9AF}"/>
            </c:ext>
          </c:extLst>
        </c:ser>
        <c:ser>
          <c:idx val="7"/>
          <c:order val="7"/>
          <c:tx>
            <c:strRef>
              <c:f>'SEMANA 72'!$J$1</c:f>
              <c:strCache>
                <c:ptCount val="1"/>
                <c:pt idx="0">
                  <c:v>MANTENIMIENTO 
SIN PERIMETRO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72'!$J$2:$J$17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1D-AF69-4C5C-A398-3A17C788F9AF}"/>
            </c:ext>
          </c:extLst>
        </c:ser>
        <c:ser>
          <c:idx val="8"/>
          <c:order val="8"/>
          <c:tx>
            <c:strRef>
              <c:f>'SEMANA 72'!$K$1</c:f>
              <c:strCache>
                <c:ptCount val="1"/>
                <c:pt idx="0">
                  <c:v>APERTURA DE MUELLE A DESHORAS SIN AUTORIZACIÓN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72'!$K$2:$K$17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1E-AF69-4C5C-A398-3A17C788F9AF}"/>
            </c:ext>
          </c:extLst>
        </c:ser>
        <c:ser>
          <c:idx val="9"/>
          <c:order val="9"/>
          <c:tx>
            <c:strRef>
              <c:f>'SEMANA 72'!$L$1</c:f>
              <c:strCache>
                <c:ptCount val="1"/>
                <c:pt idx="0">
                  <c:v>ZONAS DESABASTECIDAS
PREVIO AL CIERRE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72'!$L$2:$L$17</c:f>
              <c:numCache>
                <c:formatCode>General</c:formatCode>
                <c:ptCount val="15"/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F69-4C5C-A398-3A17C788F9AF}"/>
            </c:ext>
          </c:extLst>
        </c:ser>
        <c:ser>
          <c:idx val="10"/>
          <c:order val="10"/>
          <c:tx>
            <c:strRef>
              <c:f>'SEMANA 72'!$N$1</c:f>
              <c:strCache>
                <c:ptCount val="1"/>
                <c:pt idx="0">
                  <c:v>USO INDEBIDO DE HERRAMIENTA DE TRABAJO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72'!$N$2:$N$17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20-AF69-4C5C-A398-3A17C788F9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4209536"/>
        <c:axId val="1564218240"/>
      </c:barChart>
      <c:catAx>
        <c:axId val="156420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64218240"/>
        <c:crosses val="autoZero"/>
        <c:auto val="1"/>
        <c:lblAlgn val="ctr"/>
        <c:lblOffset val="100"/>
        <c:noMultiLvlLbl val="0"/>
      </c:catAx>
      <c:valAx>
        <c:axId val="156421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6420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39882788468886"/>
          <c:y val="0.74835042664742057"/>
          <c:w val="0.75332754708719885"/>
          <c:h val="0.23693692754388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79374</xdr:colOff>
      <xdr:row>21</xdr:row>
      <xdr:rowOff>71437</xdr:rowOff>
    </xdr:from>
    <xdr:to>
      <xdr:col>6</xdr:col>
      <xdr:colOff>1365249</xdr:colOff>
      <xdr:row>24</xdr:row>
      <xdr:rowOff>174625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F2155C8-3FDD-46EB-B170-296EF2DE20DC}"/>
            </a:ext>
          </a:extLst>
        </xdr:cNvPr>
        <xdr:cNvSpPr txBox="1"/>
      </xdr:nvSpPr>
      <xdr:spPr>
        <a:xfrm>
          <a:off x="6794499" y="6389687"/>
          <a:ext cx="2651125" cy="124618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VE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79375</xdr:colOff>
      <xdr:row>40</xdr:row>
      <xdr:rowOff>15875</xdr:rowOff>
    </xdr:from>
    <xdr:to>
      <xdr:col>16</xdr:col>
      <xdr:colOff>15875</xdr:colOff>
      <xdr:row>53</xdr:row>
      <xdr:rowOff>190500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1674019-7BF0-4697-B71C-EDD53C835CF1}"/>
            </a:ext>
          </a:extLst>
        </xdr:cNvPr>
        <xdr:cNvSpPr txBox="1"/>
      </xdr:nvSpPr>
      <xdr:spPr>
        <a:xfrm>
          <a:off x="79375" y="11699875"/>
          <a:ext cx="19081750" cy="28575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VE" sz="2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VE" sz="2000">
              <a:latin typeface="Arial" panose="020B0604020202020204" pitchFamily="34" charset="0"/>
              <a:cs typeface="Arial" panose="020B0604020202020204" pitchFamily="34" charset="0"/>
            </a:rPr>
            <a:t>La presente tabla de novedades y sus gráficos estadísticos están actualizados hasta el dia </a:t>
          </a:r>
          <a:r>
            <a:rPr lang="es-VE" sz="2000" b="1">
              <a:latin typeface="Arial" panose="020B0604020202020204" pitchFamily="34" charset="0"/>
              <a:cs typeface="Arial" panose="020B0604020202020204" pitchFamily="34" charset="0"/>
            </a:rPr>
            <a:t>24/05/2026</a:t>
          </a:r>
        </a:p>
        <a:p>
          <a:endParaRPr lang="es-VE" sz="2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VE" sz="2000">
              <a:latin typeface="Arial" panose="020B0604020202020204" pitchFamily="34" charset="0"/>
              <a:cs typeface="Arial" panose="020B0604020202020204" pitchFamily="34" charset="0"/>
            </a:rPr>
            <a:t>Todas y cada una de las novedades establecidas en esta tabla</a:t>
          </a:r>
          <a:r>
            <a:rPr lang="es-VE" sz="2000" baseline="0">
              <a:latin typeface="Arial" panose="020B0604020202020204" pitchFamily="34" charset="0"/>
              <a:cs typeface="Arial" panose="020B0604020202020204" pitchFamily="34" charset="0"/>
            </a:rPr>
            <a:t> se encuentran sustentadas en el libro de novedades y poseen sus espectivas evidencias fotográficas, las cuales han sido enviadas a los Gerentes Corporativos Yulexa Ochoa y Enrique García vía Whatsapp. </a:t>
          </a:r>
        </a:p>
        <a:p>
          <a:endParaRPr lang="es-VE" sz="20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VE" sz="2000" baseline="0">
              <a:latin typeface="Arial" panose="020B0604020202020204" pitchFamily="34" charset="0"/>
              <a:cs typeface="Arial" panose="020B0604020202020204" pitchFamily="34" charset="0"/>
            </a:rPr>
            <a:t>En la discriminación de novedades por día se observa que hay más novedades en total de las que refiere la tabla, debido a que la primera está basada exactamente en todas las novedades del libro de novedades llevado por el Centro de Monitoreo de Importados y en la tabla se filtraron las novedades repetidas y no relevantes. </a:t>
          </a:r>
          <a:r>
            <a:rPr lang="es-US" sz="20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s-VE" sz="2000" b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US" sz="1400" b="1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84668</xdr:colOff>
      <xdr:row>8</xdr:row>
      <xdr:rowOff>137584</xdr:rowOff>
    </xdr:from>
    <xdr:to>
      <xdr:col>18</xdr:col>
      <xdr:colOff>0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622E51-76D1-4158-960B-943825BB6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0</xdr:row>
      <xdr:rowOff>130969</xdr:rowOff>
    </xdr:from>
    <xdr:to>
      <xdr:col>20</xdr:col>
      <xdr:colOff>503464</xdr:colOff>
      <xdr:row>27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A94279-42D1-47B5-BFCD-571E54A97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1115" displayName="Tabla11115" ref="A1:P17" totalsRowCount="1" headerRowDxfId="51" dataDxfId="49" headerRowBorderDxfId="50" tableBorderDxfId="48" totalsRowBorderDxfId="47">
  <autoFilter ref="A1:P16" xr:uid="{00000000-0009-0000-0100-000001000000}"/>
  <tableColumns count="16">
    <tableColumn id="1" xr3:uid="{00000000-0010-0000-0000-000001000000}" name="TIENDAS" dataDxfId="46" totalsRowDxfId="15"/>
    <tableColumn id="2" xr3:uid="{00000000-0010-0000-0000-000002000000}" name="TOTAL _x000a_NOVEDADES" dataDxfId="45" totalsRowDxfId="14"/>
    <tableColumn id="3" xr3:uid="{00000000-0010-0000-0000-000003000000}" name="ZONAS SIN ABASTECER" dataDxfId="44" totalsRowDxfId="13"/>
    <tableColumn id="4" xr3:uid="{00000000-0010-0000-0000-000004000000}" name="GOURMET SIN ABASTECER" dataDxfId="43" totalsRowDxfId="12"/>
    <tableColumn id="5" xr3:uid="{00000000-0010-0000-0000-000005000000}" name="CIERRES ANTES_x000a_ DE LA HORA" dataDxfId="42" totalsRowDxfId="11"/>
    <tableColumn id="6" xr3:uid="{00000000-0010-0000-0000-000006000000}" name="APERTURAS_x000a_POSTERIORES A LA HORA" dataDxfId="41" totalsRowDxfId="10"/>
    <tableColumn id="7" xr3:uid="{00000000-0010-0000-0000-000007000000}" name="COLAS NO GESTIONADAS" dataDxfId="40" totalsRowDxfId="9"/>
    <tableColumn id="8" xr3:uid="{00000000-0010-0000-0000-000008000000}" name=" ANAQUEL FRENTEADO" dataDxfId="39" totalsRowDxfId="8"/>
    <tableColumn id="9" xr3:uid="{00000000-0010-0000-0000-000009000000}" name="NEVERAS SIN ILUMINACIÓN" dataDxfId="38" totalsRowDxfId="7"/>
    <tableColumn id="10" xr3:uid="{00000000-0010-0000-0000-00000A000000}" name="MANTENIMIENTO _x000a_SIN PERIMETRO" dataDxfId="37" totalsRowDxfId="6"/>
    <tableColumn id="11" xr3:uid="{00000000-0010-0000-0000-00000B000000}" name="APERTURA DE MUELLE A DESHORAS SIN AUTORIZACIÓN" dataDxfId="36" totalsRowDxfId="5"/>
    <tableColumn id="12" xr3:uid="{00000000-0010-0000-0000-00000C000000}" name="ZONAS DESABASTECIDAS_x000a_PREVIO AL CIERRE" dataDxfId="35" totalsRowDxfId="4"/>
    <tableColumn id="16" xr3:uid="{00000000-0010-0000-0000-000010000000}" name="FALLAS FRIGORIFICAS" dataDxfId="34" totalsRowDxfId="3"/>
    <tableColumn id="13" xr3:uid="{00000000-0010-0000-0000-00000D000000}" name="USO INDEBIDO DE HERRAMIENTA DE TRABAJO" dataDxfId="33" totalsRowDxfId="2"/>
    <tableColumn id="17" xr3:uid="{00000000-0010-0000-0000-000011000000}" name="AREA DE TRABAJO SIN PERSONAL" dataDxfId="32" totalsRowDxfId="1"/>
    <tableColumn id="15" xr3:uid="{00000000-0010-0000-0000-00000F000000}" name="OBSTACULIZACIÓN _x000a_DE TRÁNSITO A CLIENTES Y  ACCESO _x000a_A PRODUCTOS " dataDxfId="31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31216" displayName="Tabla31216" ref="A24:E39" totalsRowCount="1" headerRowDxfId="30" dataDxfId="28" headerRowBorderDxfId="29" tableBorderDxfId="27">
  <autoFilter ref="A24:E38" xr:uid="{00000000-0009-0000-0100-000002000000}"/>
  <tableColumns count="5">
    <tableColumn id="1" xr3:uid="{00000000-0010-0000-0100-000001000000}" name="TIENDAS" totalsRowLabel="castaño" totalsRowDxfId="26"/>
    <tableColumn id="2" xr3:uid="{00000000-0010-0000-0100-000002000000}" name="PÉRDIDA DE VIDEO" totalsRowDxfId="25"/>
    <tableColumn id="3" xr3:uid="{00000000-0010-0000-0100-000003000000}" name="CÁMARAS DESCUADRADAS" totalsRowDxfId="24"/>
    <tableColumn id="4" xr3:uid="{00000000-0010-0000-0100-000004000000}" name="OBSTACULIZACIÓN DE CÁMARAS" totalsRowDxfId="23"/>
    <tableColumn id="5" xr3:uid="{00000000-0010-0000-0100-000005000000}" name="TOTAL" dataDxfId="22" totalsRow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H23:I38" totalsRowShown="0" headerRowDxfId="20" headerRowBorderDxfId="19" tableBorderDxfId="18">
  <autoFilter ref="H23:I38" xr:uid="{00000000-0009-0000-0100-000003000000}"/>
  <sortState xmlns:xlrd2="http://schemas.microsoft.com/office/spreadsheetml/2017/richdata2" ref="H24:I38">
    <sortCondition descending="1" ref="I23:I38"/>
  </sortState>
  <tableColumns count="2">
    <tableColumn id="1" xr3:uid="{00000000-0010-0000-0200-000001000000}" name="Tiendas " dataDxfId="17"/>
    <tableColumn id="2" xr3:uid="{00000000-0010-0000-0200-000002000000}" name="Novedades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R73"/>
  <sheetViews>
    <sheetView showGridLines="0" tabSelected="1" zoomScale="34" zoomScaleNormal="34" workbookViewId="0">
      <selection activeCell="K63" sqref="K63"/>
    </sheetView>
  </sheetViews>
  <sheetFormatPr baseColWidth="10" defaultColWidth="11.3828125" defaultRowHeight="15.45" x14ac:dyDescent="0.4"/>
  <cols>
    <col min="1" max="1" width="18" style="3" bestFit="1" customWidth="1"/>
    <col min="2" max="2" width="18.23046875" style="2" customWidth="1"/>
    <col min="3" max="3" width="20.84375" style="1" customWidth="1"/>
    <col min="4" max="4" width="23.15234375" style="1" customWidth="1"/>
    <col min="5" max="5" width="20.15234375" style="1" customWidth="1"/>
    <col min="6" max="6" width="20.3828125" style="1" customWidth="1"/>
    <col min="7" max="7" width="21.84375" style="1" customWidth="1"/>
    <col min="8" max="8" width="23.53515625" style="1" customWidth="1"/>
    <col min="9" max="9" width="21.3828125" style="1" customWidth="1"/>
    <col min="10" max="10" width="25.3828125" style="1" customWidth="1"/>
    <col min="11" max="11" width="23" style="1" customWidth="1"/>
    <col min="12" max="13" width="23.3828125" style="1" customWidth="1"/>
    <col min="14" max="16" width="28.3828125" style="1" customWidth="1"/>
    <col min="17" max="17" width="19.4609375" style="1" customWidth="1"/>
    <col min="18" max="16384" width="11.3828125" style="1"/>
  </cols>
  <sheetData>
    <row r="1" spans="1:17" s="25" customFormat="1" ht="63.75" customHeight="1" thickBot="1" x14ac:dyDescent="0.45">
      <c r="A1" s="26" t="s">
        <v>25</v>
      </c>
      <c r="B1" s="26" t="s">
        <v>37</v>
      </c>
      <c r="C1" s="26" t="s">
        <v>36</v>
      </c>
      <c r="D1" s="26" t="s">
        <v>35</v>
      </c>
      <c r="E1" s="26" t="s">
        <v>34</v>
      </c>
      <c r="F1" s="26" t="s">
        <v>33</v>
      </c>
      <c r="G1" s="26" t="s">
        <v>32</v>
      </c>
      <c r="H1" s="26" t="s">
        <v>43</v>
      </c>
      <c r="I1" s="26" t="s">
        <v>31</v>
      </c>
      <c r="J1" s="26" t="s">
        <v>30</v>
      </c>
      <c r="K1" s="26" t="s">
        <v>29</v>
      </c>
      <c r="L1" s="26" t="s">
        <v>28</v>
      </c>
      <c r="M1" s="15" t="s">
        <v>42</v>
      </c>
      <c r="N1" s="15" t="s">
        <v>44</v>
      </c>
      <c r="O1" s="47" t="s">
        <v>47</v>
      </c>
      <c r="P1" s="41" t="s">
        <v>27</v>
      </c>
      <c r="Q1" s="65" t="s">
        <v>50</v>
      </c>
    </row>
    <row r="2" spans="1:17" ht="18.45" x14ac:dyDescent="0.35">
      <c r="A2" s="24" t="s">
        <v>19</v>
      </c>
      <c r="B2" s="10"/>
      <c r="C2" s="10">
        <v>5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48"/>
      <c r="P2" s="39"/>
      <c r="Q2" s="66"/>
    </row>
    <row r="3" spans="1:17" ht="18.45" x14ac:dyDescent="0.35">
      <c r="A3" s="23" t="s">
        <v>17</v>
      </c>
      <c r="B3" s="10"/>
      <c r="C3" s="10">
        <v>8</v>
      </c>
      <c r="D3" s="22"/>
      <c r="E3" s="22"/>
      <c r="F3" s="22"/>
      <c r="G3" s="22"/>
      <c r="H3" s="22"/>
      <c r="I3" s="22">
        <v>1</v>
      </c>
      <c r="J3" s="22"/>
      <c r="K3" s="22"/>
      <c r="L3" s="22"/>
      <c r="M3" s="22"/>
      <c r="N3" s="22"/>
      <c r="O3" s="22"/>
      <c r="P3" s="38"/>
      <c r="Q3" s="66"/>
    </row>
    <row r="4" spans="1:17" ht="18.45" x14ac:dyDescent="0.35">
      <c r="A4" s="23" t="s">
        <v>15</v>
      </c>
      <c r="B4" s="10"/>
      <c r="C4" s="10">
        <v>7</v>
      </c>
      <c r="D4" s="22">
        <v>2</v>
      </c>
      <c r="E4" s="22"/>
      <c r="F4" s="22"/>
      <c r="G4" s="22"/>
      <c r="H4" s="22">
        <v>1</v>
      </c>
      <c r="I4" s="22"/>
      <c r="J4" s="22"/>
      <c r="K4" s="22"/>
      <c r="L4" s="22"/>
      <c r="M4" s="22"/>
      <c r="N4" s="22"/>
      <c r="O4" s="22"/>
      <c r="P4" s="38"/>
      <c r="Q4" s="66"/>
    </row>
    <row r="5" spans="1:17" ht="18.45" x14ac:dyDescent="0.35">
      <c r="A5" s="23" t="s">
        <v>13</v>
      </c>
      <c r="B5" s="10"/>
      <c r="C5" s="10">
        <v>12</v>
      </c>
      <c r="D5" s="22"/>
      <c r="E5" s="22"/>
      <c r="F5" s="22"/>
      <c r="G5" s="22"/>
      <c r="H5" s="22"/>
      <c r="I5" s="22"/>
      <c r="J5" s="22"/>
      <c r="K5" s="22"/>
      <c r="L5" s="22"/>
      <c r="M5" s="22">
        <v>1</v>
      </c>
      <c r="N5" s="22"/>
      <c r="O5" s="22"/>
      <c r="P5" s="38">
        <v>1</v>
      </c>
      <c r="Q5" s="66"/>
    </row>
    <row r="6" spans="1:17" ht="30.75" customHeight="1" x14ac:dyDescent="0.35">
      <c r="A6" s="23" t="s">
        <v>11</v>
      </c>
      <c r="B6" s="10"/>
      <c r="C6" s="10">
        <v>2</v>
      </c>
      <c r="D6" s="22"/>
      <c r="E6" s="22"/>
      <c r="F6" s="22">
        <v>1</v>
      </c>
      <c r="G6" s="22"/>
      <c r="H6" s="22"/>
      <c r="I6" s="22">
        <v>1</v>
      </c>
      <c r="J6" s="22"/>
      <c r="K6" s="22"/>
      <c r="L6" s="22"/>
      <c r="M6" s="22"/>
      <c r="N6" s="22"/>
      <c r="O6" s="22"/>
      <c r="P6" s="38"/>
      <c r="Q6" s="66"/>
    </row>
    <row r="7" spans="1:17" ht="30.75" customHeight="1" x14ac:dyDescent="0.35">
      <c r="A7" s="23" t="s">
        <v>9</v>
      </c>
      <c r="B7" s="10"/>
      <c r="C7" s="10">
        <v>17</v>
      </c>
      <c r="D7" s="22"/>
      <c r="E7" s="22"/>
      <c r="F7" s="22"/>
      <c r="G7" s="22">
        <v>2</v>
      </c>
      <c r="H7" s="22">
        <v>2</v>
      </c>
      <c r="I7" s="22"/>
      <c r="J7" s="22"/>
      <c r="K7" s="22"/>
      <c r="L7" s="22">
        <v>2</v>
      </c>
      <c r="M7" s="22"/>
      <c r="N7" s="22"/>
      <c r="O7" s="22"/>
      <c r="P7" s="38"/>
      <c r="Q7" s="66"/>
    </row>
    <row r="8" spans="1:17" ht="18.45" x14ac:dyDescent="0.35">
      <c r="A8" s="23" t="s">
        <v>7</v>
      </c>
      <c r="B8" s="10"/>
      <c r="C8" s="10">
        <v>4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38">
        <v>1</v>
      </c>
      <c r="Q8" s="66"/>
    </row>
    <row r="9" spans="1:17" ht="18.45" x14ac:dyDescent="0.35">
      <c r="A9" s="23" t="s">
        <v>5</v>
      </c>
      <c r="B9" s="10"/>
      <c r="C9" s="10">
        <v>3</v>
      </c>
      <c r="D9" s="22"/>
      <c r="E9" s="22"/>
      <c r="F9" s="22"/>
      <c r="G9" s="22"/>
      <c r="H9" s="22"/>
      <c r="I9" s="22">
        <v>1</v>
      </c>
      <c r="J9" s="22"/>
      <c r="K9" s="22"/>
      <c r="L9" s="22"/>
      <c r="M9" s="22"/>
      <c r="N9" s="22"/>
      <c r="O9" s="22"/>
      <c r="P9" s="38"/>
      <c r="Q9" s="66"/>
    </row>
    <row r="10" spans="1:17" ht="18.45" x14ac:dyDescent="0.35">
      <c r="A10" s="23" t="s">
        <v>4</v>
      </c>
      <c r="B10" s="10"/>
      <c r="C10" s="10">
        <v>2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38"/>
      <c r="Q10" s="66"/>
    </row>
    <row r="11" spans="1:17" ht="18.45" x14ac:dyDescent="0.35">
      <c r="A11" s="23" t="s">
        <v>3</v>
      </c>
      <c r="B11" s="10"/>
      <c r="C11" s="10">
        <v>4</v>
      </c>
      <c r="D11" s="22"/>
      <c r="E11" s="22"/>
      <c r="F11" s="22"/>
      <c r="G11" s="22">
        <v>1</v>
      </c>
      <c r="H11" s="22"/>
      <c r="I11" s="22"/>
      <c r="J11" s="22"/>
      <c r="K11" s="22"/>
      <c r="L11" s="22"/>
      <c r="M11" s="22"/>
      <c r="N11" s="22"/>
      <c r="O11" s="22"/>
      <c r="P11" s="38"/>
      <c r="Q11" s="66"/>
    </row>
    <row r="12" spans="1:17" ht="18.45" x14ac:dyDescent="0.35">
      <c r="A12" s="23" t="s">
        <v>41</v>
      </c>
      <c r="B12" s="10"/>
      <c r="C12" s="10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38"/>
      <c r="Q12" s="66"/>
    </row>
    <row r="13" spans="1:17" ht="18.45" x14ac:dyDescent="0.35">
      <c r="A13" s="23" t="s">
        <v>2</v>
      </c>
      <c r="B13" s="10"/>
      <c r="C13" s="10">
        <v>11</v>
      </c>
      <c r="D13" s="22"/>
      <c r="E13" s="22"/>
      <c r="F13" s="22"/>
      <c r="G13" s="22"/>
      <c r="H13" s="22"/>
      <c r="I13" s="22">
        <v>1</v>
      </c>
      <c r="J13" s="22"/>
      <c r="K13" s="22"/>
      <c r="L13" s="22"/>
      <c r="M13" s="22"/>
      <c r="N13" s="22"/>
      <c r="O13" s="22"/>
      <c r="P13" s="38">
        <v>2</v>
      </c>
      <c r="Q13" s="66"/>
    </row>
    <row r="14" spans="1:17" ht="18.45" x14ac:dyDescent="0.35">
      <c r="A14" s="23" t="s">
        <v>1</v>
      </c>
      <c r="B14" s="10"/>
      <c r="C14" s="10">
        <v>3</v>
      </c>
      <c r="D14" s="22">
        <v>1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38"/>
      <c r="Q14" s="66"/>
    </row>
    <row r="15" spans="1:17" ht="18.75" customHeight="1" x14ac:dyDescent="0.35">
      <c r="A15" s="23" t="s">
        <v>0</v>
      </c>
      <c r="B15" s="10"/>
      <c r="C15" s="10">
        <v>9</v>
      </c>
      <c r="D15" s="22"/>
      <c r="E15" s="22"/>
      <c r="F15" s="22"/>
      <c r="G15" s="22">
        <v>1</v>
      </c>
      <c r="H15" s="22"/>
      <c r="I15" s="22"/>
      <c r="J15" s="22"/>
      <c r="K15" s="22"/>
      <c r="L15" s="22"/>
      <c r="M15" s="22"/>
      <c r="N15" s="22"/>
      <c r="O15" s="49"/>
      <c r="P15" s="40">
        <v>1</v>
      </c>
      <c r="Q15" s="66"/>
    </row>
    <row r="16" spans="1:17" ht="16.5" customHeight="1" thickBot="1" x14ac:dyDescent="0.4">
      <c r="A16" s="23" t="s">
        <v>45</v>
      </c>
      <c r="B16" s="42"/>
      <c r="C16" s="10">
        <v>1</v>
      </c>
      <c r="D16" s="43"/>
      <c r="E16" s="43"/>
      <c r="F16" s="44"/>
      <c r="G16" s="44"/>
      <c r="H16" s="44"/>
      <c r="I16" s="44"/>
      <c r="J16" s="44"/>
      <c r="K16" s="44"/>
      <c r="L16" s="44"/>
      <c r="M16" s="22"/>
      <c r="N16" s="45"/>
      <c r="O16" s="45"/>
      <c r="P16" s="38"/>
      <c r="Q16" s="66"/>
    </row>
    <row r="17" spans="1:18" s="21" customFormat="1" ht="18.899999999999999" thickBot="1" x14ac:dyDescent="0.45">
      <c r="A17" s="51"/>
      <c r="B17" s="52"/>
      <c r="C17" s="58"/>
      <c r="D17" s="53"/>
      <c r="E17" s="53"/>
      <c r="F17" s="54"/>
      <c r="G17" s="54"/>
      <c r="H17" s="54"/>
      <c r="I17" s="54"/>
      <c r="J17" s="54"/>
      <c r="K17" s="54"/>
      <c r="L17" s="54"/>
      <c r="M17" s="50"/>
      <c r="N17" s="55"/>
      <c r="O17" s="50"/>
      <c r="P17" s="56"/>
      <c r="Q17" s="66"/>
    </row>
    <row r="18" spans="1:18" ht="32.25" customHeight="1" thickTop="1" thickBot="1" x14ac:dyDescent="0.4">
      <c r="A18" s="18" t="s">
        <v>21</v>
      </c>
      <c r="B18" s="57">
        <f>SUM(B2:B16)</f>
        <v>0</v>
      </c>
      <c r="C18" s="57">
        <f>SUM(C2:C16)</f>
        <v>88</v>
      </c>
      <c r="D18" s="57">
        <f>SUM(D2:D16)</f>
        <v>3</v>
      </c>
      <c r="E18" s="57">
        <f t="shared" ref="E18:P18" si="0">SUM(E2:E16)</f>
        <v>0</v>
      </c>
      <c r="F18" s="57">
        <f t="shared" si="0"/>
        <v>1</v>
      </c>
      <c r="G18" s="57">
        <f t="shared" si="0"/>
        <v>4</v>
      </c>
      <c r="H18" s="57">
        <f t="shared" si="0"/>
        <v>3</v>
      </c>
      <c r="I18" s="57">
        <f t="shared" si="0"/>
        <v>4</v>
      </c>
      <c r="J18" s="57">
        <f t="shared" si="0"/>
        <v>0</v>
      </c>
      <c r="K18" s="57">
        <f t="shared" si="0"/>
        <v>0</v>
      </c>
      <c r="L18" s="57">
        <f t="shared" si="0"/>
        <v>2</v>
      </c>
      <c r="M18" s="57">
        <f t="shared" si="0"/>
        <v>1</v>
      </c>
      <c r="N18" s="57">
        <f t="shared" si="0"/>
        <v>0</v>
      </c>
      <c r="O18" s="57">
        <f t="shared" si="0"/>
        <v>0</v>
      </c>
      <c r="P18" s="57">
        <f t="shared" si="0"/>
        <v>5</v>
      </c>
      <c r="Q18" s="66"/>
    </row>
    <row r="19" spans="1:18" ht="15" customHeight="1" thickBot="1" x14ac:dyDescent="0.45">
      <c r="Q19" s="66"/>
    </row>
    <row r="20" spans="1:18" ht="15" customHeight="1" x14ac:dyDescent="0.35">
      <c r="A20" s="67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36"/>
      <c r="P20" s="36"/>
      <c r="Q20" s="66"/>
    </row>
    <row r="21" spans="1:18" ht="20.6" thickBot="1" x14ac:dyDescent="0.4">
      <c r="A21" s="69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36"/>
      <c r="P21" s="36"/>
      <c r="Q21" s="59"/>
    </row>
    <row r="22" spans="1:18" ht="63.75" customHeight="1" thickBot="1" x14ac:dyDescent="0.45">
      <c r="D22" s="1" t="s">
        <v>48</v>
      </c>
      <c r="H22" s="76" t="s">
        <v>40</v>
      </c>
      <c r="I22" s="77"/>
      <c r="Q22" s="59"/>
      <c r="R22" s="28"/>
    </row>
    <row r="23" spans="1:18" ht="49.5" customHeight="1" thickBot="1" x14ac:dyDescent="0.4">
      <c r="A23" s="71" t="s">
        <v>26</v>
      </c>
      <c r="B23" s="72"/>
      <c r="C23" s="72"/>
      <c r="D23" s="72"/>
      <c r="E23" s="73"/>
      <c r="H23" s="31" t="s">
        <v>38</v>
      </c>
      <c r="I23" s="30" t="s">
        <v>39</v>
      </c>
      <c r="J23" s="28"/>
      <c r="K23" s="28"/>
      <c r="L23" s="28"/>
      <c r="M23" s="28"/>
      <c r="N23" s="28"/>
      <c r="O23" s="28"/>
      <c r="P23" s="28"/>
      <c r="Q23" s="59"/>
    </row>
    <row r="24" spans="1:18" ht="31.3" thickBot="1" x14ac:dyDescent="0.4">
      <c r="A24" s="20" t="s">
        <v>25</v>
      </c>
      <c r="B24" s="19" t="s">
        <v>24</v>
      </c>
      <c r="C24" s="19" t="s">
        <v>23</v>
      </c>
      <c r="D24" s="19" t="s">
        <v>22</v>
      </c>
      <c r="E24" s="19" t="s">
        <v>21</v>
      </c>
      <c r="H24" s="24"/>
      <c r="I24" s="10"/>
      <c r="K24" s="74"/>
      <c r="L24" s="75"/>
      <c r="M24" s="32"/>
      <c r="N24" s="27" t="s">
        <v>20</v>
      </c>
      <c r="O24" s="37"/>
      <c r="P24" s="37"/>
      <c r="Q24" s="59"/>
    </row>
    <row r="25" spans="1:18" ht="23.15" thickBot="1" x14ac:dyDescent="0.4">
      <c r="A25" s="17" t="s">
        <v>19</v>
      </c>
      <c r="B25" s="10"/>
      <c r="C25" s="16"/>
      <c r="D25" s="16"/>
      <c r="E25" s="10"/>
      <c r="H25" s="23"/>
      <c r="I25" s="10"/>
      <c r="K25" s="15" t="s">
        <v>18</v>
      </c>
      <c r="L25" s="29">
        <v>26</v>
      </c>
      <c r="M25" s="33"/>
      <c r="N25" s="62">
        <f>SUM(L25:L31)/7</f>
        <v>15.857142857142858</v>
      </c>
      <c r="O25" s="46"/>
      <c r="P25" s="35"/>
      <c r="Q25" s="59"/>
    </row>
    <row r="26" spans="1:18" ht="23.15" thickBot="1" x14ac:dyDescent="0.4">
      <c r="A26" s="14" t="s">
        <v>17</v>
      </c>
      <c r="B26" s="12"/>
      <c r="C26" s="11"/>
      <c r="D26" s="11"/>
      <c r="E26" s="10"/>
      <c r="H26" s="23"/>
      <c r="I26" s="10"/>
      <c r="K26" s="15" t="s">
        <v>16</v>
      </c>
      <c r="L26" s="29">
        <v>10</v>
      </c>
      <c r="M26" s="33"/>
      <c r="N26" s="63"/>
      <c r="O26" s="46"/>
      <c r="P26" s="35"/>
      <c r="Q26" s="59"/>
    </row>
    <row r="27" spans="1:18" ht="23.15" thickBot="1" x14ac:dyDescent="0.4">
      <c r="A27" s="13" t="s">
        <v>15</v>
      </c>
      <c r="B27" s="12"/>
      <c r="C27" s="11"/>
      <c r="D27" s="11"/>
      <c r="E27" s="10"/>
      <c r="H27" s="23"/>
      <c r="I27" s="10"/>
      <c r="K27" s="15" t="s">
        <v>14</v>
      </c>
      <c r="L27" s="29">
        <v>16</v>
      </c>
      <c r="M27" s="33"/>
      <c r="N27" s="63"/>
      <c r="O27" s="46"/>
      <c r="P27" s="35"/>
      <c r="Q27" s="59"/>
    </row>
    <row r="28" spans="1:18" ht="31.3" customHeight="1" thickBot="1" x14ac:dyDescent="0.4">
      <c r="A28" s="14" t="s">
        <v>13</v>
      </c>
      <c r="B28" s="12"/>
      <c r="C28" s="11"/>
      <c r="D28" s="11"/>
      <c r="E28" s="10"/>
      <c r="H28" s="23"/>
      <c r="I28" s="10"/>
      <c r="K28" s="15" t="s">
        <v>12</v>
      </c>
      <c r="L28" s="29">
        <v>16</v>
      </c>
      <c r="M28" s="33"/>
      <c r="N28" s="63"/>
      <c r="O28" s="46"/>
      <c r="P28" s="35"/>
      <c r="Q28" s="59"/>
    </row>
    <row r="29" spans="1:18" ht="31.3" thickBot="1" x14ac:dyDescent="0.4">
      <c r="A29" s="13" t="s">
        <v>11</v>
      </c>
      <c r="B29" s="12"/>
      <c r="C29" s="11"/>
      <c r="D29" s="11"/>
      <c r="E29" s="10"/>
      <c r="H29" s="23"/>
      <c r="I29" s="10"/>
      <c r="K29" s="15" t="s">
        <v>10</v>
      </c>
      <c r="L29" s="29">
        <v>21</v>
      </c>
      <c r="M29" s="33"/>
      <c r="N29" s="63"/>
      <c r="O29" s="46"/>
      <c r="P29" s="35"/>
      <c r="Q29" s="59"/>
    </row>
    <row r="30" spans="1:18" ht="31.3" thickBot="1" x14ac:dyDescent="0.4">
      <c r="A30" s="14" t="s">
        <v>9</v>
      </c>
      <c r="B30" s="12"/>
      <c r="C30" s="11"/>
      <c r="D30" s="11"/>
      <c r="E30" s="10"/>
      <c r="H30" s="23"/>
      <c r="I30" s="10"/>
      <c r="K30" s="15" t="s">
        <v>8</v>
      </c>
      <c r="L30" s="29">
        <v>22</v>
      </c>
      <c r="M30" s="33"/>
      <c r="N30" s="63"/>
      <c r="O30" s="46"/>
      <c r="P30" s="35"/>
      <c r="Q30" s="59"/>
    </row>
    <row r="31" spans="1:18" ht="15.75" customHeight="1" thickBot="1" x14ac:dyDescent="0.4">
      <c r="A31" s="13" t="s">
        <v>7</v>
      </c>
      <c r="B31" s="12"/>
      <c r="C31" s="11"/>
      <c r="D31" s="11"/>
      <c r="E31" s="10"/>
      <c r="H31" s="23"/>
      <c r="I31" s="10"/>
      <c r="K31" s="15" t="s">
        <v>6</v>
      </c>
      <c r="L31" s="29"/>
      <c r="M31" s="34"/>
      <c r="N31" s="64"/>
      <c r="O31" s="46"/>
      <c r="P31" s="35"/>
      <c r="Q31" s="59"/>
    </row>
    <row r="32" spans="1:18" x14ac:dyDescent="0.35">
      <c r="A32" s="14" t="s">
        <v>5</v>
      </c>
      <c r="B32" s="12"/>
      <c r="C32" s="11"/>
      <c r="D32" s="11"/>
      <c r="E32" s="10"/>
      <c r="H32" s="23"/>
      <c r="I32" s="10"/>
      <c r="Q32" s="59"/>
    </row>
    <row r="33" spans="1:17" x14ac:dyDescent="0.35">
      <c r="A33" s="13" t="s">
        <v>4</v>
      </c>
      <c r="B33" s="12"/>
      <c r="C33" s="11"/>
      <c r="D33" s="11"/>
      <c r="E33" s="10"/>
      <c r="H33" s="23"/>
      <c r="I33" s="10"/>
      <c r="Q33" s="59"/>
    </row>
    <row r="34" spans="1:17" x14ac:dyDescent="0.35">
      <c r="A34" s="14" t="s">
        <v>3</v>
      </c>
      <c r="B34" s="12"/>
      <c r="C34" s="11"/>
      <c r="D34" s="11"/>
      <c r="E34" s="10"/>
      <c r="H34" s="23"/>
      <c r="I34" s="61"/>
      <c r="Q34" s="59"/>
    </row>
    <row r="35" spans="1:17" x14ac:dyDescent="0.35">
      <c r="A35" s="23" t="s">
        <v>41</v>
      </c>
      <c r="B35" s="12"/>
      <c r="C35" s="11"/>
      <c r="D35" s="11"/>
      <c r="E35" s="10"/>
      <c r="H35" s="23"/>
      <c r="I35" s="10"/>
      <c r="Q35" s="59"/>
    </row>
    <row r="36" spans="1:17" x14ac:dyDescent="0.35">
      <c r="A36" s="14" t="s">
        <v>2</v>
      </c>
      <c r="B36" s="12"/>
      <c r="C36" s="11"/>
      <c r="D36" s="11"/>
      <c r="E36" s="10"/>
      <c r="H36" s="23"/>
      <c r="I36" s="10"/>
      <c r="Q36" s="59"/>
    </row>
    <row r="37" spans="1:17" x14ac:dyDescent="0.35">
      <c r="A37" s="13" t="s">
        <v>1</v>
      </c>
      <c r="B37" s="12"/>
      <c r="C37" s="11"/>
      <c r="D37" s="11"/>
      <c r="E37" s="10"/>
      <c r="H37" s="23"/>
      <c r="I37" s="10"/>
      <c r="Q37" s="59"/>
    </row>
    <row r="38" spans="1:17" ht="15.9" thickBot="1" x14ac:dyDescent="0.4">
      <c r="A38" s="8" t="s">
        <v>0</v>
      </c>
      <c r="B38" s="7"/>
      <c r="C38" s="6"/>
      <c r="D38" s="6"/>
      <c r="E38" s="9"/>
      <c r="H38" s="23"/>
      <c r="I38" s="12"/>
      <c r="Q38" s="59"/>
    </row>
    <row r="39" spans="1:17" ht="15.9" thickBot="1" x14ac:dyDescent="0.4">
      <c r="A39" s="8" t="s">
        <v>46</v>
      </c>
      <c r="B39" s="7"/>
      <c r="C39" s="6"/>
      <c r="D39" s="5"/>
      <c r="E39" s="4"/>
      <c r="P39" s="59"/>
    </row>
    <row r="40" spans="1:17" x14ac:dyDescent="0.4">
      <c r="Q40" s="59"/>
    </row>
    <row r="41" spans="1:17" x14ac:dyDescent="0.4">
      <c r="Q41" s="59"/>
    </row>
    <row r="42" spans="1:17" x14ac:dyDescent="0.4">
      <c r="Q42" s="59"/>
    </row>
    <row r="43" spans="1:17" x14ac:dyDescent="0.4">
      <c r="Q43" s="59"/>
    </row>
    <row r="44" spans="1:17" x14ac:dyDescent="0.4">
      <c r="Q44" s="59"/>
    </row>
    <row r="45" spans="1:17" x14ac:dyDescent="0.4">
      <c r="Q45" s="59"/>
    </row>
    <row r="46" spans="1:17" x14ac:dyDescent="0.4">
      <c r="Q46" s="59"/>
    </row>
    <row r="47" spans="1:17" x14ac:dyDescent="0.4">
      <c r="Q47" s="59"/>
    </row>
    <row r="48" spans="1:17" x14ac:dyDescent="0.4">
      <c r="Q48" s="59"/>
    </row>
    <row r="49" spans="17:17" x14ac:dyDescent="0.4">
      <c r="Q49" s="59"/>
    </row>
    <row r="50" spans="17:17" x14ac:dyDescent="0.4">
      <c r="Q50" s="59"/>
    </row>
    <row r="51" spans="17:17" x14ac:dyDescent="0.4">
      <c r="Q51" s="59"/>
    </row>
    <row r="52" spans="17:17" x14ac:dyDescent="0.4">
      <c r="Q52" s="59"/>
    </row>
    <row r="53" spans="17:17" x14ac:dyDescent="0.4">
      <c r="Q53" s="60"/>
    </row>
    <row r="73" spans="11:11" x14ac:dyDescent="0.4">
      <c r="K73" s="1" t="s">
        <v>49</v>
      </c>
    </row>
  </sheetData>
  <mergeCells count="6">
    <mergeCell ref="N25:N31"/>
    <mergeCell ref="Q1:Q20"/>
    <mergeCell ref="A20:N21"/>
    <mergeCell ref="A23:E23"/>
    <mergeCell ref="K24:L24"/>
    <mergeCell ref="H22:I22"/>
  </mergeCells>
  <phoneticPr fontId="8" type="noConversion"/>
  <conditionalFormatting sqref="H24:I3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{54212319-71F5-412E-9CDC-57E2467B40D9}</x14:id>
        </ext>
      </extLst>
    </cfRule>
  </conditionalFormatting>
  <pageMargins left="0.25" right="0.25" top="0.75" bottom="0.75" header="0.3" footer="0.3"/>
  <pageSetup scale="43" orientation="landscape" r:id="rId1"/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212319-71F5-412E-9CDC-57E2467B40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H24:I38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A8" zoomScale="70" zoomScaleNormal="70" workbookViewId="0">
      <selection activeCell="B40" sqref="B40"/>
    </sheetView>
  </sheetViews>
  <sheetFormatPr baseColWidth="10" defaultRowHeight="14.6" x14ac:dyDescent="0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zoomScale="70" zoomScaleNormal="70" workbookViewId="0">
      <selection activeCell="R7" sqref="R7"/>
    </sheetView>
  </sheetViews>
  <sheetFormatPr baseColWidth="10" defaultRowHeight="14.6" x14ac:dyDescent="0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SEMANA 72</vt:lpstr>
      <vt:lpstr>Numero de novedades</vt:lpstr>
      <vt:lpstr>Estadísticas de novedades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mendoza</dc:creator>
  <cp:lastModifiedBy>Admin</cp:lastModifiedBy>
  <cp:lastPrinted>2024-09-23T14:42:25Z</cp:lastPrinted>
  <dcterms:created xsi:type="dcterms:W3CDTF">2024-06-05T18:35:24Z</dcterms:created>
  <dcterms:modified xsi:type="dcterms:W3CDTF">2026-05-24T17:02:09Z</dcterms:modified>
</cp:coreProperties>
</file>